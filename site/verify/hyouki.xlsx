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<sst xmlns="http://schemas.openxmlformats.org/spreadsheetml/2006/main" count="8" uniqueCount="8">
  <si>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株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山田商事</t>
    </r>
  </si>
  <si>
    <t xml:space="preserve">（株）山田商事</t>
  </si>
  <si>
    <t xml:space="preserve">㈱山田商事</t>
  </si>
  <si>
    <t xml:space="preserve">株式会社 山田商事</t>
  </si>
  <si>
    <r>
      <rPr>
        <sz val="11"/>
        <color theme="1"/>
        <rFont val="Noto Sans CJK SC"/>
        <family val="2"/>
      </rPr>
      <t xml:space="preserve">Ａ１２３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ｂｃ</t>
    </r>
  </si>
  <si>
    <t xml:space="preserve">ﾔﾏﾀﾞ ﾀﾛｳ</t>
  </si>
  <si>
    <t xml:space="preserve">山田　太郎</t>
  </si>
  <si>
    <t xml:space="preserve"> 山田商事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</si>
</sst>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0</v>
      </c>
      <c r="B1" s="0" t="str">
        <f aca="false">ASC(A1)</f>
        <v>(株)山田商事</v>
      </c>
      <c r="C1" s="0" t="str">
        <f aca="false">JIS(A1)</f>
        <v>（株）山田商事</v>
      </c>
      <c r="D1" s="0" t="str">
        <f aca="false">TRIM(SUBSTITUTE(A1,"　"," "))</f>
        <v>(株)山田商事</v>
      </c>
      <c r="E1" s="0" t="str">
        <f aca="false">SUBSTITUTE(SUBSTITUTE(SUBSTITUTE(A1,"(株)","株式会社"),"（株）","株式会社"),"㈱","株式会社")</f>
        <v>株式会社山田商事</v>
      </c>
      <c r="F1" s="1" t="b">
        <f aca="false">EXACT(E1,E1)</f>
        <v>1</v>
      </c>
      <c r="H1" s="2" t="n">
        <f aca="false">COUNTIF(E1:E4,"株式会社山田商事")</f>
        <v>3</v>
      </c>
    </row>
    <row r="2" customFormat="false" ht="17.15" hidden="false" customHeight="false" outlineLevel="0" collapsed="false">
      <c r="A2" s="3" t="s">
        <v>1</v>
      </c>
      <c r="B2" s="0" t="str">
        <f aca="false">ASC(A2)</f>
        <v>(株)山田商事</v>
      </c>
      <c r="C2" s="0" t="str">
        <f aca="false">JIS(A2)</f>
        <v>（株）山田商事</v>
      </c>
      <c r="D2" s="0" t="str">
        <f aca="false">TRIM(SUBSTITUTE(A2,"　"," "))</f>
        <v>（株）山田商事</v>
      </c>
      <c r="E2" s="0" t="str">
        <f aca="false">SUBSTITUTE(SUBSTITUTE(SUBSTITUTE(A2,"(株)","株式会社"),"（株）","株式会社"),"㈱","株式会社")</f>
        <v>株式会社山田商事</v>
      </c>
      <c r="F2" s="1" t="b">
        <f aca="false">EXACT(E2,E1)</f>
        <v>1</v>
      </c>
      <c r="H2" s="2" t="n">
        <f aca="false">SUMPRODUCT(--(E1:E4="株式会社山田商事"))</f>
        <v>3</v>
      </c>
    </row>
    <row r="3" customFormat="false" ht="15" hidden="false" customHeight="false" outlineLevel="0" collapsed="false">
      <c r="A3" s="3" t="s">
        <v>2</v>
      </c>
      <c r="B3" s="0" t="str">
        <f aca="false">ASC(A3)</f>
        <v>㈱山田商事</v>
      </c>
      <c r="C3" s="0" t="str">
        <f aca="false">JIS(A3)</f>
        <v>㈱山田商事</v>
      </c>
      <c r="D3" s="0" t="str">
        <f aca="false">TRIM(SUBSTITUTE(A3,"　"," "))</f>
        <v>㈱山田商事</v>
      </c>
      <c r="E3" s="0" t="str">
        <f aca="false">SUBSTITUTE(SUBSTITUTE(SUBSTITUTE(A3,"(株)","株式会社"),"（株）","株式会社"),"㈱","株式会社")</f>
        <v>株式会社山田商事</v>
      </c>
      <c r="F3" s="1" t="b">
        <f aca="false">EXACT(E3,E1)</f>
        <v>1</v>
      </c>
    </row>
    <row r="4" customFormat="false" ht="15" hidden="false" customHeight="false" outlineLevel="0" collapsed="false">
      <c r="A4" s="3" t="s">
        <v>3</v>
      </c>
      <c r="B4" s="0" t="str">
        <f aca="false">ASC(A4)</f>
        <v>株式会社 山田商事</v>
      </c>
      <c r="C4" s="0" t="str">
        <f aca="false">JIS(A4)</f>
        <v>株式会社 山田商事</v>
      </c>
      <c r="D4" s="0" t="str">
        <f aca="false">TRIM(SUBSTITUTE(A4,"　"," "))</f>
        <v>株式会社 山田商事</v>
      </c>
      <c r="E4" s="0" t="str">
        <f aca="false">SUBSTITUTE(SUBSTITUTE(SUBSTITUTE(A4,"(株)","株式会社"),"（株）","株式会社"),"㈱","株式会社")</f>
        <v>株式会社 山田商事</v>
      </c>
      <c r="F4" s="1" t="b">
        <f aca="false">EXACT(E4,E1)</f>
        <v>0</v>
      </c>
    </row>
    <row r="5" customFormat="false" ht="17.15" hidden="false" customHeight="false" outlineLevel="0" collapsed="false">
      <c r="A5" s="3" t="s">
        <v>4</v>
      </c>
      <c r="B5" s="0" t="str">
        <f aca="false">ASC(A5)</f>
        <v>A123-bc</v>
      </c>
      <c r="C5" s="0" t="str">
        <f aca="false">JIS(A5)</f>
        <v>Ａ１２３－ｂｃ</v>
      </c>
      <c r="D5" s="0" t="str">
        <f aca="false">TRIM(SUBSTITUTE(A5,"　"," "))</f>
        <v>Ａ１２３-ｂｃ</v>
      </c>
      <c r="E5" s="0" t="str">
        <f aca="false">SUBSTITUTE(SUBSTITUTE(SUBSTITUTE(A5,"(株)","株式会社"),"（株）","株式会社"),"㈱","株式会社")</f>
        <v>Ａ１２３-ｂｃ</v>
      </c>
      <c r="F5" s="1" t="b">
        <f aca="false">EXACT(E5,E1)</f>
        <v>0</v>
      </c>
    </row>
    <row r="6" customFormat="false" ht="15" hidden="false" customHeight="false" outlineLevel="0" collapsed="false">
      <c r="A6" s="3" t="s">
        <v>5</v>
      </c>
      <c r="B6" s="0" t="str">
        <f aca="false">ASC(A6)</f>
        <v>ﾔﾏﾀﾞ ﾀﾛｳ</v>
      </c>
      <c r="C6" s="0" t="str">
        <f aca="false">JIS(A6)</f>
        <v>ヤマダ タロウ</v>
      </c>
      <c r="D6" s="0" t="str">
        <f aca="false">TRIM(SUBSTITUTE(A6,"　"," "))</f>
        <v>ﾔﾏﾀﾞ ﾀﾛｳ</v>
      </c>
      <c r="E6" s="0" t="str">
        <f aca="false">SUBSTITUTE(SUBSTITUTE(SUBSTITUTE(A6,"(株)","株式会社"),"（株）","株式会社"),"㈱","株式会社")</f>
        <v>ﾔﾏﾀﾞ ﾀﾛｳ</v>
      </c>
      <c r="F6" s="1" t="b">
        <f aca="false">EXACT(E6,E1)</f>
        <v>0</v>
      </c>
    </row>
    <row r="7" customFormat="false" ht="15" hidden="false" customHeight="false" outlineLevel="0" collapsed="false">
      <c r="A7" s="3" t="s">
        <v>6</v>
      </c>
      <c r="B7" s="0" t="str">
        <f aca="false">ASC(A7)</f>
        <v>山田　太郎</v>
      </c>
      <c r="C7" s="0" t="str">
        <f aca="false">JIS(A7)</f>
        <v>山田　太郎</v>
      </c>
      <c r="D7" s="0" t="str">
        <f aca="false">TRIM(SUBSTITUTE(A7,"　"," "))</f>
        <v>山田 太郎</v>
      </c>
      <c r="E7" s="0" t="str">
        <f aca="false">SUBSTITUTE(SUBSTITUTE(SUBSTITUTE(A7,"(株)","株式会社"),"（株）","株式会社"),"㈱","株式会社")</f>
        <v>山田　太郎</v>
      </c>
      <c r="F7" s="1" t="b">
        <f aca="false">EXACT(E7,E1)</f>
        <v>0</v>
      </c>
    </row>
    <row r="8" customFormat="false" ht="15" hidden="false" customHeight="false" outlineLevel="0" collapsed="false">
      <c r="A8" s="3" t="s">
        <v>7</v>
      </c>
      <c r="B8" s="0" t="str">
        <f aca="false">ASC(A8)</f>
        <v> 山田商事 </v>
      </c>
      <c r="C8" s="0" t="str">
        <f aca="false">JIS(A8)</f>
        <v> 山田商事 </v>
      </c>
      <c r="D8" s="0" t="str">
        <f aca="false">TRIM(SUBSTITUTE(A8,"　"," "))</f>
        <v>山田商事</v>
      </c>
      <c r="E8" s="0" t="str">
        <f aca="false">SUBSTITUTE(SUBSTITUTE(SUBSTITUTE(A8,"(株)","株式会社"),"（株）","株式会社"),"㈱","株式会社")</f>
        <v> 山田商事 </v>
      </c>
      <c r="F8" s="1" t="b">
        <f aca="false">EXACT(E8,E1)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2026-10-11T14:24:09Z</dcterms:created>
  <dc:creator>openpyxl</dc:creator>
  <dc:description/>
  <dc:language>en-US</dc:language>
  <cp:lastModifiedBy/>
  <dcterms:modified xsi:type="dcterms:W3CDTF">2026-10-11T14:24:09Z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